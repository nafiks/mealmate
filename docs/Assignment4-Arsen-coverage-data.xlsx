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sz val="9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32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Recipe coverage per picker ingredient (n=51)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'Chart'!$A$3:$A$52</f>
            </numRef>
          </cat>
          <val>
            <numRef>
              <f>'Chart'!$B$3:$B$52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Ingredient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Recipes using the ingredient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6" customWidth="1" min="4" max="4"/>
  </cols>
  <sheetData>
    <row r="1">
      <c r="A1" s="1" t="inlineStr">
        <is>
          <t>#</t>
        </is>
      </c>
      <c r="B1" s="1" t="inlineStr">
        <is>
          <t>Ingredient (picker item)</t>
        </is>
      </c>
      <c r="C1" s="1" t="inlineStr">
        <is>
          <t>Category</t>
        </is>
      </c>
      <c r="D1" s="1" t="inlineStr">
        <is>
          <t>Recipes using it (count)</t>
        </is>
      </c>
    </row>
    <row r="2">
      <c r="A2" t="n">
        <v>1</v>
      </c>
      <c r="B2" t="inlineStr">
        <is>
          <t>Banana</t>
        </is>
      </c>
      <c r="C2" t="inlineStr">
        <is>
          <t>Vegetables &amp; Fruit</t>
        </is>
      </c>
      <c r="D2" t="n">
        <v>1</v>
      </c>
    </row>
    <row r="3">
      <c r="A3" t="n">
        <v>2</v>
      </c>
      <c r="B3" t="inlineStr">
        <is>
          <t>Beetroot</t>
        </is>
      </c>
      <c r="C3" t="inlineStr">
        <is>
          <t>Vegetables &amp; Fruit</t>
        </is>
      </c>
      <c r="D3" t="n">
        <v>1</v>
      </c>
    </row>
    <row r="4">
      <c r="A4" t="n">
        <v>3</v>
      </c>
      <c r="B4" t="inlineStr">
        <is>
          <t>Buckwheat</t>
        </is>
      </c>
      <c r="C4" t="inlineStr">
        <is>
          <t>Grains &amp; Pasta</t>
        </is>
      </c>
      <c r="D4" t="n">
        <v>1</v>
      </c>
    </row>
    <row r="5">
      <c r="A5" t="n">
        <v>4</v>
      </c>
      <c r="B5" t="inlineStr">
        <is>
          <t>Frozen manti</t>
        </is>
      </c>
      <c r="C5" t="inlineStr">
        <is>
          <t>Canned &amp; Frozen</t>
        </is>
      </c>
      <c r="D5" t="n">
        <v>1</v>
      </c>
    </row>
    <row r="6">
      <c r="A6" t="n">
        <v>5</v>
      </c>
      <c r="B6" t="inlineStr">
        <is>
          <t>Frozen pelmeni</t>
        </is>
      </c>
      <c r="C6" t="inlineStr">
        <is>
          <t>Canned &amp; Frozen</t>
        </is>
      </c>
      <c r="D6" t="n">
        <v>1</v>
      </c>
    </row>
    <row r="7">
      <c r="A7" t="n">
        <v>6</v>
      </c>
      <c r="B7" t="inlineStr">
        <is>
          <t>Avocado</t>
        </is>
      </c>
      <c r="C7" t="inlineStr">
        <is>
          <t>Vegetables &amp; Fruit</t>
        </is>
      </c>
      <c r="D7" t="n">
        <v>2</v>
      </c>
    </row>
    <row r="8">
      <c r="A8" t="n">
        <v>7</v>
      </c>
      <c r="B8" t="inlineStr">
        <is>
          <t>Corn (canned)</t>
        </is>
      </c>
      <c r="C8" t="inlineStr">
        <is>
          <t>Canned &amp; Frozen</t>
        </is>
      </c>
      <c r="D8" t="n">
        <v>2</v>
      </c>
    </row>
    <row r="9">
      <c r="A9" t="n">
        <v>8</v>
      </c>
      <c r="B9" t="inlineStr">
        <is>
          <t>Cottage cheese</t>
        </is>
      </c>
      <c r="C9" t="inlineStr">
        <is>
          <t>Dairy &amp; Eggs</t>
        </is>
      </c>
      <c r="D9" t="n">
        <v>2</v>
      </c>
    </row>
    <row r="10">
      <c r="A10" t="n">
        <v>9</v>
      </c>
      <c r="B10" t="inlineStr">
        <is>
          <t>Fish fillet</t>
        </is>
      </c>
      <c r="C10" t="inlineStr">
        <is>
          <t>Meat &amp; Fish</t>
        </is>
      </c>
      <c r="D10" t="n">
        <v>2</v>
      </c>
    </row>
    <row r="11">
      <c r="A11" t="n">
        <v>10</v>
      </c>
      <c r="B11" t="inlineStr">
        <is>
          <t>Green peas (canned)</t>
        </is>
      </c>
      <c r="C11" t="inlineStr">
        <is>
          <t>Canned &amp; Frozen</t>
        </is>
      </c>
      <c r="D11" t="n">
        <v>2</v>
      </c>
    </row>
    <row r="12">
      <c r="A12" t="n">
        <v>11</v>
      </c>
      <c r="B12" t="inlineStr">
        <is>
          <t>Pickles</t>
        </is>
      </c>
      <c r="C12" t="inlineStr">
        <is>
          <t>Vegetables &amp; Fruit</t>
        </is>
      </c>
      <c r="D12" t="n">
        <v>2</v>
      </c>
    </row>
    <row r="13">
      <c r="A13" t="n">
        <v>12</v>
      </c>
      <c r="B13" t="inlineStr">
        <is>
          <t>Red beans (canned)</t>
        </is>
      </c>
      <c r="C13" t="inlineStr">
        <is>
          <t>Canned &amp; Frozen</t>
        </is>
      </c>
      <c r="D13" t="n">
        <v>2</v>
      </c>
    </row>
    <row r="14">
      <c r="A14" t="n">
        <v>13</v>
      </c>
      <c r="B14" t="inlineStr">
        <is>
          <t>Shrimp</t>
        </is>
      </c>
      <c r="C14" t="inlineStr">
        <is>
          <t>Meat &amp; Fish</t>
        </is>
      </c>
      <c r="D14" t="n">
        <v>2</v>
      </c>
    </row>
    <row r="15">
      <c r="A15" t="n">
        <v>14</v>
      </c>
      <c r="B15" t="inlineStr">
        <is>
          <t>Lettuce</t>
        </is>
      </c>
      <c r="C15" t="inlineStr">
        <is>
          <t>Vegetables &amp; Fruit</t>
        </is>
      </c>
      <c r="D15" t="n">
        <v>3</v>
      </c>
    </row>
    <row r="16">
      <c r="A16" t="n">
        <v>15</v>
      </c>
      <c r="B16" t="inlineStr">
        <is>
          <t>Minced meat</t>
        </is>
      </c>
      <c r="C16" t="inlineStr">
        <is>
          <t>Meat &amp; Fish</t>
        </is>
      </c>
      <c r="D16" t="n">
        <v>3</v>
      </c>
    </row>
    <row r="17">
      <c r="A17" t="n">
        <v>16</v>
      </c>
      <c r="B17" t="inlineStr">
        <is>
          <t>Mushrooms</t>
        </is>
      </c>
      <c r="C17" t="inlineStr">
        <is>
          <t>Vegetables &amp; Fruit</t>
        </is>
      </c>
      <c r="D17" t="n">
        <v>3</v>
      </c>
    </row>
    <row r="18">
      <c r="A18" t="n">
        <v>17</v>
      </c>
      <c r="B18" t="inlineStr">
        <is>
          <t>Oats</t>
        </is>
      </c>
      <c r="C18" t="inlineStr">
        <is>
          <t>Grains &amp; Pasta</t>
        </is>
      </c>
      <c r="D18" t="n">
        <v>3</v>
      </c>
    </row>
    <row r="19">
      <c r="A19" t="n">
        <v>18</v>
      </c>
      <c r="B19" t="inlineStr">
        <is>
          <t>Sausage</t>
        </is>
      </c>
      <c r="C19" t="inlineStr">
        <is>
          <t>Meat &amp; Fish</t>
        </is>
      </c>
      <c r="D19" t="n">
        <v>3</v>
      </c>
    </row>
    <row r="20">
      <c r="A20" t="n">
        <v>19</v>
      </c>
      <c r="B20" t="inlineStr">
        <is>
          <t>Bacon</t>
        </is>
      </c>
      <c r="C20" t="inlineStr">
        <is>
          <t>Meat &amp; Fish</t>
        </is>
      </c>
      <c r="D20" t="n">
        <v>4</v>
      </c>
    </row>
    <row r="21">
      <c r="A21" t="n">
        <v>20</v>
      </c>
      <c r="B21" t="inlineStr">
        <is>
          <t>Kefir</t>
        </is>
      </c>
      <c r="C21" t="inlineStr">
        <is>
          <t>Dairy &amp; Eggs</t>
        </is>
      </c>
      <c r="D21" t="n">
        <v>4</v>
      </c>
    </row>
    <row r="22">
      <c r="A22" t="n">
        <v>21</v>
      </c>
      <c r="B22" t="inlineStr">
        <is>
          <t>Yogurt</t>
        </is>
      </c>
      <c r="C22" t="inlineStr">
        <is>
          <t>Dairy &amp; Eggs</t>
        </is>
      </c>
      <c r="D22" t="n">
        <v>4</v>
      </c>
    </row>
    <row r="23">
      <c r="A23" t="n">
        <v>22</v>
      </c>
      <c r="B23" t="inlineStr">
        <is>
          <t>Cabbage</t>
        </is>
      </c>
      <c r="C23" t="inlineStr">
        <is>
          <t>Vegetables &amp; Fruit</t>
        </is>
      </c>
      <c r="D23" t="n">
        <v>5</v>
      </c>
    </row>
    <row r="24">
      <c r="A24" t="n">
        <v>23</v>
      </c>
      <c r="B24" t="inlineStr">
        <is>
          <t>Cucumber</t>
        </is>
      </c>
      <c r="C24" t="inlineStr">
        <is>
          <t>Vegetables &amp; Fruit</t>
        </is>
      </c>
      <c r="D24" t="n">
        <v>5</v>
      </c>
    </row>
    <row r="25">
      <c r="A25" t="n">
        <v>24</v>
      </c>
      <c r="B25" t="inlineStr">
        <is>
          <t>Bell pepper</t>
        </is>
      </c>
      <c r="C25" t="inlineStr">
        <is>
          <t>Vegetables &amp; Fruit</t>
        </is>
      </c>
      <c r="D25" t="n">
        <v>6</v>
      </c>
    </row>
    <row r="26">
      <c r="A26" t="n">
        <v>25</v>
      </c>
      <c r="B26" t="inlineStr">
        <is>
          <t>Pasta</t>
        </is>
      </c>
      <c r="C26" t="inlineStr">
        <is>
          <t>Grains &amp; Pasta</t>
        </is>
      </c>
      <c r="D26" t="n">
        <v>6</v>
      </c>
    </row>
    <row r="27">
      <c r="A27" t="n">
        <v>26</v>
      </c>
      <c r="B27" t="inlineStr">
        <is>
          <t>Bread</t>
        </is>
      </c>
      <c r="C27" t="inlineStr">
        <is>
          <t>Grains &amp; Pasta</t>
        </is>
      </c>
      <c r="D27" t="n">
        <v>7</v>
      </c>
    </row>
    <row r="28">
      <c r="A28" t="n">
        <v>27</v>
      </c>
      <c r="B28" t="inlineStr">
        <is>
          <t>Instant noodles</t>
        </is>
      </c>
      <c r="C28" t="inlineStr">
        <is>
          <t>Grains &amp; Pasta</t>
        </is>
      </c>
      <c r="D28" t="n">
        <v>7</v>
      </c>
    </row>
    <row r="29">
      <c r="A29" t="n">
        <v>28</v>
      </c>
      <c r="B29" t="inlineStr">
        <is>
          <t>Rice</t>
        </is>
      </c>
      <c r="C29" t="inlineStr">
        <is>
          <t>Grains &amp; Pasta</t>
        </is>
      </c>
      <c r="D29" t="n">
        <v>7</v>
      </c>
    </row>
    <row r="30">
      <c r="A30" t="n">
        <v>29</v>
      </c>
      <c r="B30" t="inlineStr">
        <is>
          <t>Tomato</t>
        </is>
      </c>
      <c r="C30" t="inlineStr">
        <is>
          <t>Vegetables &amp; Fruit</t>
        </is>
      </c>
      <c r="D30" t="n">
        <v>7</v>
      </c>
    </row>
    <row r="31">
      <c r="A31" t="n">
        <v>30</v>
      </c>
      <c r="B31" t="inlineStr">
        <is>
          <t>Beef</t>
        </is>
      </c>
      <c r="C31" t="inlineStr">
        <is>
          <t>Meat &amp; Fish</t>
        </is>
      </c>
      <c r="D31" t="n">
        <v>8</v>
      </c>
    </row>
    <row r="32">
      <c r="A32" t="n">
        <v>31</v>
      </c>
      <c r="B32" t="inlineStr">
        <is>
          <t>Milk</t>
        </is>
      </c>
      <c r="C32" t="inlineStr">
        <is>
          <t>Dairy &amp; Eggs</t>
        </is>
      </c>
      <c r="D32" t="n">
        <v>8</v>
      </c>
    </row>
    <row r="33">
      <c r="A33" t="n">
        <v>32</v>
      </c>
      <c r="B33" t="inlineStr">
        <is>
          <t>Tortilla</t>
        </is>
      </c>
      <c r="C33" t="inlineStr">
        <is>
          <t>Grains &amp; Pasta</t>
        </is>
      </c>
      <c r="D33" t="n">
        <v>8</v>
      </c>
    </row>
    <row r="34">
      <c r="A34" t="n">
        <v>33</v>
      </c>
      <c r="B34" t="inlineStr">
        <is>
          <t>Chicken</t>
        </is>
      </c>
      <c r="C34" t="inlineStr">
        <is>
          <t>Meat &amp; Fish</t>
        </is>
      </c>
      <c r="D34" t="n">
        <v>9</v>
      </c>
    </row>
    <row r="35">
      <c r="A35" t="n">
        <v>34</v>
      </c>
      <c r="B35" t="inlineStr">
        <is>
          <t>Chopped tomatoes (canned)</t>
        </is>
      </c>
      <c r="C35" t="inlineStr">
        <is>
          <t>Canned &amp; Frozen</t>
        </is>
      </c>
      <c r="D35" t="n">
        <v>9</v>
      </c>
    </row>
    <row r="36">
      <c r="A36" t="n">
        <v>35</v>
      </c>
      <c r="B36" t="inlineStr">
        <is>
          <t>Green onion</t>
        </is>
      </c>
      <c r="C36" t="inlineStr">
        <is>
          <t>Vegetables &amp; Fruit</t>
        </is>
      </c>
      <c r="D36" t="n">
        <v>9</v>
      </c>
    </row>
    <row r="37">
      <c r="A37" t="n">
        <v>36</v>
      </c>
      <c r="B37" t="inlineStr">
        <is>
          <t>Lemon</t>
        </is>
      </c>
      <c r="C37" t="inlineStr">
        <is>
          <t>Vegetables &amp; Fruit</t>
        </is>
      </c>
      <c r="D37" t="n">
        <v>9</v>
      </c>
    </row>
    <row r="38">
      <c r="A38" t="n">
        <v>37</v>
      </c>
      <c r="B38" t="inlineStr">
        <is>
          <t>Sour cream</t>
        </is>
      </c>
      <c r="C38" t="inlineStr">
        <is>
          <t>Dairy &amp; Eggs</t>
        </is>
      </c>
      <c r="D38" t="n">
        <v>9</v>
      </c>
    </row>
    <row r="39">
      <c r="A39" t="n">
        <v>38</v>
      </c>
      <c r="B39" t="inlineStr">
        <is>
          <t>Soy sauce</t>
        </is>
      </c>
      <c r="C39" t="inlineStr">
        <is>
          <t>Pantry &amp; Spices</t>
        </is>
      </c>
      <c r="D39" t="n">
        <v>9</v>
      </c>
    </row>
    <row r="40">
      <c r="A40" t="n">
        <v>39</v>
      </c>
      <c r="B40" t="inlineStr">
        <is>
          <t>Flour</t>
        </is>
      </c>
      <c r="C40" t="inlineStr">
        <is>
          <t>Grains &amp; Pasta</t>
        </is>
      </c>
      <c r="D40" t="n">
        <v>10</v>
      </c>
    </row>
    <row r="41">
      <c r="A41" t="n">
        <v>40</v>
      </c>
      <c r="B41" t="inlineStr">
        <is>
          <t>Potato</t>
        </is>
      </c>
      <c r="C41" t="inlineStr">
        <is>
          <t>Vegetables &amp; Fruit</t>
        </is>
      </c>
      <c r="D41" t="n">
        <v>10</v>
      </c>
    </row>
    <row r="42">
      <c r="A42" t="n">
        <v>41</v>
      </c>
      <c r="B42" t="inlineStr">
        <is>
          <t>Carrot</t>
        </is>
      </c>
      <c r="C42" t="inlineStr">
        <is>
          <t>Vegetables &amp; Fruit</t>
        </is>
      </c>
      <c r="D42" t="n">
        <v>12</v>
      </c>
    </row>
    <row r="43">
      <c r="A43" t="n">
        <v>42</v>
      </c>
      <c r="B43" t="inlineStr">
        <is>
          <t>Sugar</t>
        </is>
      </c>
      <c r="C43" t="inlineStr">
        <is>
          <t>Pantry &amp; Spices</t>
        </is>
      </c>
      <c r="D43" t="n">
        <v>13</v>
      </c>
    </row>
    <row r="44">
      <c r="A44" t="n">
        <v>43</v>
      </c>
      <c r="B44" t="inlineStr">
        <is>
          <t>Black pepper</t>
        </is>
      </c>
      <c r="C44" t="inlineStr">
        <is>
          <t>Pantry &amp; Spices</t>
        </is>
      </c>
      <c r="D44" t="n">
        <v>14</v>
      </c>
    </row>
    <row r="45">
      <c r="A45" t="n">
        <v>44</v>
      </c>
      <c r="B45" t="inlineStr">
        <is>
          <t>Dill &amp; parsley</t>
        </is>
      </c>
      <c r="C45" t="inlineStr">
        <is>
          <t>Vegetables &amp; Fruit</t>
        </is>
      </c>
      <c r="D45" t="n">
        <v>14</v>
      </c>
    </row>
    <row r="46">
      <c r="A46" t="n">
        <v>45</v>
      </c>
      <c r="B46" t="inlineStr">
        <is>
          <t>Butter</t>
        </is>
      </c>
      <c r="C46" t="inlineStr">
        <is>
          <t>Dairy &amp; Eggs</t>
        </is>
      </c>
      <c r="D46" t="n">
        <v>16</v>
      </c>
    </row>
    <row r="47">
      <c r="A47" t="n">
        <v>46</v>
      </c>
      <c r="B47" t="inlineStr">
        <is>
          <t>Cheese</t>
        </is>
      </c>
      <c r="C47" t="inlineStr">
        <is>
          <t>Dairy &amp; Eggs</t>
        </is>
      </c>
      <c r="D47" t="n">
        <v>16</v>
      </c>
    </row>
    <row r="48">
      <c r="A48" t="n">
        <v>47</v>
      </c>
      <c r="B48" t="inlineStr">
        <is>
          <t>Garlic</t>
        </is>
      </c>
      <c r="C48" t="inlineStr">
        <is>
          <t>Vegetables &amp; Fruit</t>
        </is>
      </c>
      <c r="D48" t="n">
        <v>20</v>
      </c>
    </row>
    <row r="49">
      <c r="A49" t="n">
        <v>48</v>
      </c>
      <c r="B49" t="inlineStr">
        <is>
          <t>Eggs</t>
        </is>
      </c>
      <c r="C49" t="inlineStr">
        <is>
          <t>Meat &amp; Fish</t>
        </is>
      </c>
      <c r="D49" t="n">
        <v>23</v>
      </c>
    </row>
    <row r="50">
      <c r="A50" t="n">
        <v>49</v>
      </c>
      <c r="B50" t="inlineStr">
        <is>
          <t>Onion</t>
        </is>
      </c>
      <c r="C50" t="inlineStr">
        <is>
          <t>Vegetables &amp; Fruit</t>
        </is>
      </c>
      <c r="D50" t="n">
        <v>27</v>
      </c>
    </row>
    <row r="51">
      <c r="A51" t="n">
        <v>50</v>
      </c>
      <c r="B51" t="inlineStr">
        <is>
          <t>Vegetable oil</t>
        </is>
      </c>
      <c r="C51" t="inlineStr">
        <is>
          <t>Pantry &amp; Spices</t>
        </is>
      </c>
      <c r="D51" t="n">
        <v>31</v>
      </c>
    </row>
    <row r="52">
      <c r="A52" t="n">
        <v>51</v>
      </c>
      <c r="B52" t="inlineStr">
        <is>
          <t>Salt</t>
        </is>
      </c>
      <c r="C52" t="inlineStr">
        <is>
          <t>Pantry &amp; Spices</t>
        </is>
      </c>
      <c r="D52" t="n">
        <v>38</v>
      </c>
    </row>
    <row r="54">
      <c r="A54" s="2" t="inlineStr">
        <is>
          <t>Data source: MealMate SQLite database (server/data/mealmate.db), table recipe_ingredients, queried on 30 Oct 2026. Each row = one ingredient shown in the /kitchen picker; count = number of recipes whose ingredient list includes it (non-optional join rows).</t>
        </is>
      </c>
    </row>
    <row r="55"/>
  </sheetData>
  <mergeCells count="1">
    <mergeCell ref="A54:D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3" customWidth="1" min="3" max="3"/>
    <col width="44" customWidth="1" min="4" max="4"/>
    <col width="12" customWidth="1" min="5" max="5"/>
  </cols>
  <sheetData>
    <row r="1">
      <c r="A1" s="3" t="inlineStr">
        <is>
          <t>Ingredient coverage analysis — MealMate recipe database</t>
        </is>
      </c>
    </row>
    <row r="3">
      <c r="A3" s="4" t="inlineStr">
        <is>
          <t>Measure 1: ingredients with ZERO recipes (dead picker items)</t>
        </is>
      </c>
      <c r="B3">
        <f>COUNTIF('Raw Data'!D2:D52,0)</f>
        <v/>
      </c>
      <c r="D3" s="5" t="inlineStr">
        <is>
          <t>BEFORE the fix (development stage, 58 recipes)</t>
        </is>
      </c>
    </row>
    <row r="4">
      <c r="A4" s="4" t="inlineStr">
        <is>
          <t>Total ingredients in picker</t>
        </is>
      </c>
      <c r="B4">
        <f>COUNTA('Raw Data'!B2:B52)</f>
        <v/>
      </c>
      <c r="D4" t="inlineStr">
        <is>
          <t>Ingredients with 0 recipes</t>
        </is>
      </c>
      <c r="E4" t="n">
        <v>2</v>
      </c>
    </row>
    <row r="5">
      <c r="A5" s="4" t="inlineStr">
        <is>
          <t>Share of dead items, %</t>
        </is>
      </c>
      <c r="B5">
        <f>B3/B4*100</f>
        <v/>
      </c>
      <c r="D5" t="inlineStr">
        <is>
          <t>Ingredients with only 1 recipe</t>
        </is>
      </c>
      <c r="E5" t="n">
        <v>9</v>
      </c>
    </row>
    <row r="6">
      <c r="A6" s="4" t="inlineStr">
        <is>
          <t>Measure 2: average recipes per ingredient</t>
        </is>
      </c>
      <c r="B6">
        <f>AVERAGE('Raw Data'!D2:D52)</f>
        <v/>
      </c>
      <c r="D6" t="inlineStr">
        <is>
          <t>Dead items share, %</t>
        </is>
      </c>
      <c r="E6">
        <f>E4/51*100</f>
        <v/>
      </c>
    </row>
    <row r="7">
      <c r="A7" s="4" t="inlineStr">
        <is>
          <t>Minimum usage</t>
        </is>
      </c>
      <c r="B7">
        <f>MIN('Raw Data'!D2:D52)</f>
        <v/>
      </c>
    </row>
    <row r="8">
      <c r="A8" s="4" t="inlineStr">
        <is>
          <t>Maximum usage</t>
        </is>
      </c>
      <c r="B8">
        <f>MAX('Raw Data'!D2:D52)</f>
        <v/>
      </c>
      <c r="D8" s="5" t="inlineStr">
        <is>
          <t>AFTER the fix (68 recipes, current)</t>
        </is>
      </c>
    </row>
    <row r="9">
      <c r="A9" s="4" t="inlineStr">
        <is>
          <t>Ingredients used in only 1 recipe (weak coverage)</t>
        </is>
      </c>
      <c r="B9">
        <f>COUNTIF('Raw Data'!D2:D52,1)</f>
        <v/>
      </c>
      <c r="D9" t="inlineStr">
        <is>
          <t>Ingredients with 0 recipes</t>
        </is>
      </c>
      <c r="E9">
        <f>B3</f>
        <v/>
      </c>
    </row>
    <row r="10">
      <c r="A10" s="4" t="inlineStr">
        <is>
          <t>Ingredients used in 2+ recipes (healthy coverage)</t>
        </is>
      </c>
      <c r="B10">
        <f>COUNTIF('Raw Data'!D2:D52,"&gt;=2")</f>
        <v/>
      </c>
      <c r="D10" t="inlineStr">
        <is>
          <t>Ingredients with only 1 recipe</t>
        </is>
      </c>
      <c r="E10">
        <f>B9</f>
        <v/>
      </c>
    </row>
    <row r="11">
      <c r="A11" s="4" t="inlineStr">
        <is>
          <t>Healthy coverage share, %</t>
        </is>
      </c>
      <c r="B11">
        <f>B10/B4*100</f>
        <v/>
      </c>
      <c r="D11" t="inlineStr">
        <is>
          <t>Dead items share, %</t>
        </is>
      </c>
      <c r="E11">
        <f>B5</f>
        <v/>
      </c>
    </row>
    <row r="13" ht="30" customHeight="1">
      <c r="A13" s="6" t="inlineStr">
        <is>
          <t>Finding 1: after adding 10 targeted recipes, the share of picker items with zero usable recipes dropped from 3.9% (2 of 51) to 0% (0 of 51).</t>
        </is>
      </c>
    </row>
    <row r="14" ht="30" customHeight="1">
      <c r="A14" s="6" t="inlineStr">
        <is>
          <t>Finding 2: average recipes per ingredient is 4.2; before the fix bacon and canned corn had 0 recipes, so selecting them returned an empty result screen.</t>
        </is>
      </c>
    </row>
    <row r="15" ht="30" customHeight="1">
      <c r="A15" s="6" t="inlineStr">
        <is>
          <t>Limitation: coverage counts recipes, not popularity; a small database can still miss combinations, and counts do not measure how often students actually pick each item.</t>
        </is>
      </c>
    </row>
  </sheetData>
  <mergeCells count="3">
    <mergeCell ref="A15:E15"/>
    <mergeCell ref="A13:E13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Recipes per ingredient (sorted ascending — the weakest coverage on the left)</t>
        </is>
      </c>
    </row>
    <row r="2">
      <c r="A2" t="inlineStr">
        <is>
          <t>Ingredient</t>
        </is>
      </c>
      <c r="B2" t="inlineStr">
        <is>
          <t>Recipes</t>
        </is>
      </c>
    </row>
    <row r="3">
      <c r="A3" t="inlineStr">
        <is>
          <t>Banana</t>
        </is>
      </c>
      <c r="B3" t="n">
        <v>1</v>
      </c>
    </row>
    <row r="4">
      <c r="A4" t="inlineStr">
        <is>
          <t>Beetroot</t>
        </is>
      </c>
      <c r="B4" t="n">
        <v>1</v>
      </c>
    </row>
    <row r="5">
      <c r="A5" t="inlineStr">
        <is>
          <t>Buckwheat</t>
        </is>
      </c>
      <c r="B5" t="n">
        <v>1</v>
      </c>
    </row>
    <row r="6">
      <c r="A6" t="inlineStr">
        <is>
          <t>Frozen manti</t>
        </is>
      </c>
      <c r="B6" t="n">
        <v>1</v>
      </c>
    </row>
    <row r="7">
      <c r="A7" t="inlineStr">
        <is>
          <t>Frozen pelmeni</t>
        </is>
      </c>
      <c r="B7" t="n">
        <v>1</v>
      </c>
    </row>
    <row r="8">
      <c r="A8" t="inlineStr">
        <is>
          <t>Avocado</t>
        </is>
      </c>
      <c r="B8" t="n">
        <v>2</v>
      </c>
    </row>
    <row r="9">
      <c r="A9" t="inlineStr">
        <is>
          <t>Corn (canned)</t>
        </is>
      </c>
      <c r="B9" t="n">
        <v>2</v>
      </c>
    </row>
    <row r="10">
      <c r="A10" t="inlineStr">
        <is>
          <t>Cottage cheese</t>
        </is>
      </c>
      <c r="B10" t="n">
        <v>2</v>
      </c>
    </row>
    <row r="11">
      <c r="A11" t="inlineStr">
        <is>
          <t>Fish fillet</t>
        </is>
      </c>
      <c r="B11" t="n">
        <v>2</v>
      </c>
    </row>
    <row r="12">
      <c r="A12" t="inlineStr">
        <is>
          <t>Green peas (canned)</t>
        </is>
      </c>
      <c r="B12" t="n">
        <v>2</v>
      </c>
    </row>
    <row r="13">
      <c r="A13" t="inlineStr">
        <is>
          <t>Pickles</t>
        </is>
      </c>
      <c r="B13" t="n">
        <v>2</v>
      </c>
    </row>
    <row r="14">
      <c r="A14" t="inlineStr">
        <is>
          <t>Red beans (canned)</t>
        </is>
      </c>
      <c r="B14" t="n">
        <v>2</v>
      </c>
    </row>
    <row r="15">
      <c r="A15" t="inlineStr">
        <is>
          <t>Shrimp</t>
        </is>
      </c>
      <c r="B15" t="n">
        <v>2</v>
      </c>
    </row>
    <row r="16">
      <c r="A16" t="inlineStr">
        <is>
          <t>Lettuce</t>
        </is>
      </c>
      <c r="B16" t="n">
        <v>3</v>
      </c>
    </row>
    <row r="17">
      <c r="A17" t="inlineStr">
        <is>
          <t>Minced meat</t>
        </is>
      </c>
      <c r="B17" t="n">
        <v>3</v>
      </c>
    </row>
    <row r="18">
      <c r="A18" t="inlineStr">
        <is>
          <t>Mushrooms</t>
        </is>
      </c>
      <c r="B18" t="n">
        <v>3</v>
      </c>
    </row>
    <row r="19">
      <c r="A19" t="inlineStr">
        <is>
          <t>Oats</t>
        </is>
      </c>
      <c r="B19" t="n">
        <v>3</v>
      </c>
    </row>
    <row r="20">
      <c r="A20" t="inlineStr">
        <is>
          <t>Sausage</t>
        </is>
      </c>
      <c r="B20" t="n">
        <v>3</v>
      </c>
    </row>
    <row r="21">
      <c r="A21" t="inlineStr">
        <is>
          <t>Bacon</t>
        </is>
      </c>
      <c r="B21" t="n">
        <v>4</v>
      </c>
    </row>
    <row r="22">
      <c r="A22" t="inlineStr">
        <is>
          <t>Kefir</t>
        </is>
      </c>
      <c r="B22" t="n">
        <v>4</v>
      </c>
    </row>
    <row r="23">
      <c r="A23" t="inlineStr">
        <is>
          <t>Yogurt</t>
        </is>
      </c>
      <c r="B23" t="n">
        <v>4</v>
      </c>
    </row>
    <row r="24">
      <c r="A24" t="inlineStr">
        <is>
          <t>Cabbage</t>
        </is>
      </c>
      <c r="B24" t="n">
        <v>5</v>
      </c>
    </row>
    <row r="25">
      <c r="A25" t="inlineStr">
        <is>
          <t>Cucumber</t>
        </is>
      </c>
      <c r="B25" t="n">
        <v>5</v>
      </c>
    </row>
    <row r="26">
      <c r="A26" t="inlineStr">
        <is>
          <t>Bell pepper</t>
        </is>
      </c>
      <c r="B26" t="n">
        <v>6</v>
      </c>
    </row>
    <row r="27">
      <c r="A27" t="inlineStr">
        <is>
          <t>Pasta</t>
        </is>
      </c>
      <c r="B27" t="n">
        <v>6</v>
      </c>
    </row>
    <row r="28">
      <c r="A28" t="inlineStr">
        <is>
          <t>Bread</t>
        </is>
      </c>
      <c r="B28" t="n">
        <v>7</v>
      </c>
    </row>
    <row r="29">
      <c r="A29" t="inlineStr">
        <is>
          <t>Instant noodles</t>
        </is>
      </c>
      <c r="B29" t="n">
        <v>7</v>
      </c>
    </row>
    <row r="30">
      <c r="A30" t="inlineStr">
        <is>
          <t>Rice</t>
        </is>
      </c>
      <c r="B30" t="n">
        <v>7</v>
      </c>
    </row>
    <row r="31">
      <c r="A31" t="inlineStr">
        <is>
          <t>Tomato</t>
        </is>
      </c>
      <c r="B31" t="n">
        <v>7</v>
      </c>
    </row>
    <row r="32">
      <c r="A32" t="inlineStr">
        <is>
          <t>Beef</t>
        </is>
      </c>
      <c r="B32" t="n">
        <v>8</v>
      </c>
    </row>
    <row r="33">
      <c r="A33" t="inlineStr">
        <is>
          <t>Milk</t>
        </is>
      </c>
      <c r="B33" t="n">
        <v>8</v>
      </c>
    </row>
    <row r="34">
      <c r="A34" t="inlineStr">
        <is>
          <t>Tortilla</t>
        </is>
      </c>
      <c r="B34" t="n">
        <v>8</v>
      </c>
    </row>
    <row r="35">
      <c r="A35" t="inlineStr">
        <is>
          <t>Chicken</t>
        </is>
      </c>
      <c r="B35" t="n">
        <v>9</v>
      </c>
    </row>
    <row r="36">
      <c r="A36" t="inlineStr">
        <is>
          <t>Chopped tomatoes (canned)</t>
        </is>
      </c>
      <c r="B36" t="n">
        <v>9</v>
      </c>
    </row>
    <row r="37">
      <c r="A37" t="inlineStr">
        <is>
          <t>Green onion</t>
        </is>
      </c>
      <c r="B37" t="n">
        <v>9</v>
      </c>
    </row>
    <row r="38">
      <c r="A38" t="inlineStr">
        <is>
          <t>Lemon</t>
        </is>
      </c>
      <c r="B38" t="n">
        <v>9</v>
      </c>
    </row>
    <row r="39">
      <c r="A39" t="inlineStr">
        <is>
          <t>Sour cream</t>
        </is>
      </c>
      <c r="B39" t="n">
        <v>9</v>
      </c>
    </row>
    <row r="40">
      <c r="A40" t="inlineStr">
        <is>
          <t>Soy sauce</t>
        </is>
      </c>
      <c r="B40" t="n">
        <v>9</v>
      </c>
    </row>
    <row r="41">
      <c r="A41" t="inlineStr">
        <is>
          <t>Flour</t>
        </is>
      </c>
      <c r="B41" t="n">
        <v>10</v>
      </c>
    </row>
    <row r="42">
      <c r="A42" t="inlineStr">
        <is>
          <t>Potato</t>
        </is>
      </c>
      <c r="B42" t="n">
        <v>10</v>
      </c>
    </row>
    <row r="43">
      <c r="A43" t="inlineStr">
        <is>
          <t>Carrot</t>
        </is>
      </c>
      <c r="B43" t="n">
        <v>12</v>
      </c>
    </row>
    <row r="44">
      <c r="A44" t="inlineStr">
        <is>
          <t>Sugar</t>
        </is>
      </c>
      <c r="B44" t="n">
        <v>13</v>
      </c>
    </row>
    <row r="45">
      <c r="A45" t="inlineStr">
        <is>
          <t>Black pepper</t>
        </is>
      </c>
      <c r="B45" t="n">
        <v>14</v>
      </c>
    </row>
    <row r="46">
      <c r="A46" t="inlineStr">
        <is>
          <t>Dill &amp; parsley</t>
        </is>
      </c>
      <c r="B46" t="n">
        <v>14</v>
      </c>
    </row>
    <row r="47">
      <c r="A47" t="inlineStr">
        <is>
          <t>Butter</t>
        </is>
      </c>
      <c r="B47" t="n">
        <v>16</v>
      </c>
    </row>
    <row r="48">
      <c r="A48" t="inlineStr">
        <is>
          <t>Cheese</t>
        </is>
      </c>
      <c r="B48" t="n">
        <v>16</v>
      </c>
    </row>
    <row r="49">
      <c r="A49" t="inlineStr">
        <is>
          <t>Garlic</t>
        </is>
      </c>
      <c r="B49" t="n">
        <v>20</v>
      </c>
    </row>
    <row r="50">
      <c r="A50" t="inlineStr">
        <is>
          <t>Eggs</t>
        </is>
      </c>
      <c r="B50" t="n">
        <v>23</v>
      </c>
    </row>
    <row r="51">
      <c r="A51" t="inlineStr">
        <is>
          <t>Onion</t>
        </is>
      </c>
      <c r="B51" t="n">
        <v>27</v>
      </c>
    </row>
    <row r="52">
      <c r="A52" t="inlineStr">
        <is>
          <t>Vegetable oil</t>
        </is>
      </c>
      <c r="B52" t="n">
        <v>31</v>
      </c>
    </row>
    <row r="53">
      <c r="A53" t="inlineStr">
        <is>
          <t>Salt</t>
        </is>
      </c>
      <c r="B53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2026-10-29T22:51:35Z</dcterms:created>
  <dcterms:modified xmlns:dcterms="http://purl.org/dc/terms/" xmlns:xsi="http://www.w3.org/2001/XMLSchema-instance" xsi:type="dcterms:W3CDTF">2026-10-29T22:51:35Z</dcterms:modified>
</cp:coreProperties>
</file>